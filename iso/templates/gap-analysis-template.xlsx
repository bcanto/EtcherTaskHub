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SO 9001 Register" sheetId="2" state="visible" r:id="rId4"/>
    <sheet name="Source Data" sheetId="3" state="visible" r:id="rId5"/>
  </sheets>
  <definedNames>
    <definedName function="false" hidden="false" localSheetId="1" name="_xlnm.Print_Area" vbProcedure="false">'ISO 9001 Register'!$A$1:$M$110</definedName>
    <definedName function="false" hidden="false" localSheetId="1" name="_xlnm.Print_Titles" vbProcedure="false">'ISO 9001 Register'!$5:$5</definedName>
    <definedName function="false" hidden="true" localSheetId="1" name="_xlnm._FilterDatabase" vbProcedure="false">'ISO 9001 Register'!$A$5:$M$110</definedName>
    <definedName function="false" hidden="true" localSheetId="2" name="_xlnm._FilterDatabase" vbProcedure="false">'Source Data'!$A$1:$X$99</definedName>
    <definedName function="false" hidden="false" localSheetId="0" name="_xlnm.Print_Area" vbProcedure="false">Summary!$A$1:$J$29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<sst xmlns="http://schemas.openxmlformats.org/spreadsheetml/2006/main" count="1788" uniqueCount="400">
  <si>
    <t xml:space="preserve">ISO 9001 Gap Analysis — Summary</t>
  </si>
  <si>
    <t xml:space="preserve">Quality Management System  ·  Data as at 28 Sep 2026</t>
  </si>
  <si>
    <t xml:space="preserve">Compliance overview</t>
  </si>
  <si>
    <t xml:space="preserve">Requirements</t>
  </si>
  <si>
    <t xml:space="preserve">Fully conforming</t>
  </si>
  <si>
    <t xml:space="preserve">Partially conforming</t>
  </si>
  <si>
    <t xml:space="preserve">Not conforming</t>
  </si>
  <si>
    <t xml:space="preserve">To be updated</t>
  </si>
  <si>
    <t xml:space="preserve">Overall conformance</t>
  </si>
  <si>
    <t xml:space="preserve">Counts update automatically
from the ISO 9001 Register tab.</t>
  </si>
  <si>
    <t xml:space="preserve">clause requirements</t>
  </si>
  <si>
    <t xml:space="preserve">fully conforming</t>
  </si>
  <si>
    <t xml:space="preserve">Status by clause section</t>
  </si>
  <si>
    <t xml:space="preserve">Clause</t>
  </si>
  <si>
    <t xml:space="preserve">Section</t>
  </si>
  <si>
    <t xml:space="preserve">% Fully conforming</t>
  </si>
  <si>
    <t xml:space="preserve">Context of the organization</t>
  </si>
  <si>
    <t xml:space="preserve">Leadership</t>
  </si>
  <si>
    <t xml:space="preserve">Planning</t>
  </si>
  <si>
    <t xml:space="preserve">Support</t>
  </si>
  <si>
    <t xml:space="preserve">Operation</t>
  </si>
  <si>
    <t xml:space="preserve">Performance evaluation</t>
  </si>
  <si>
    <t xml:space="preserve">Improvement</t>
  </si>
  <si>
    <t xml:space="preserve">Total</t>
  </si>
  <si>
    <t xml:space="preserve">Action progress</t>
  </si>
  <si>
    <t xml:space="preserve">Work status</t>
  </si>
  <si>
    <t xml:space="preserve">Share</t>
  </si>
  <si>
    <t xml:space="preserve">Priority</t>
  </si>
  <si>
    <t xml:space="preserve">Not started</t>
  </si>
  <si>
    <t xml:space="preserve">High</t>
  </si>
  <si>
    <t xml:space="preserve">Planned</t>
  </si>
  <si>
    <t xml:space="preserve">Medium</t>
  </si>
  <si>
    <t xml:space="preserve">In progress</t>
  </si>
  <si>
    <t xml:space="preserve">Low</t>
  </si>
  <si>
    <t xml:space="preserve">Complete</t>
  </si>
  <si>
    <t xml:space="preserve">Not set</t>
  </si>
  <si>
    <t xml:space="preserve">On hold</t>
  </si>
  <si>
    <t xml:space="preserve">Average progress</t>
  </si>
  <si>
    <t xml:space="preserve">ISO 9001 Gap Analysis &amp; Action Register</t>
  </si>
  <si>
    <t xml:space="preserve">Quality Management System  ·  Etcher Solutions</t>
  </si>
  <si>
    <t xml:space="preserve">Data as at 28 Sep 2026</t>
  </si>
  <si>
    <t xml:space="preserve">Compliance Status, Work Status and Priority have dropdowns  ·  Owner, Due Date (dd/mm/yyyy) and Progress (%) are for the team to complete  ·  Overdue dates turn red</t>
  </si>
  <si>
    <t xml:space="preserve">Clause Name</t>
  </si>
  <si>
    <t xml:space="preserve">Requirement</t>
  </si>
  <si>
    <t xml:space="preserve">Current System</t>
  </si>
  <si>
    <t xml:space="preserve">Planned Action</t>
  </si>
  <si>
    <t xml:space="preserve">Compliance Status</t>
  </si>
  <si>
    <t xml:space="preserve">Original Status</t>
  </si>
  <si>
    <t xml:space="preserve">Work Status</t>
  </si>
  <si>
    <t xml:space="preserve">Owner</t>
  </si>
  <si>
    <t xml:space="preserve">Due Date</t>
  </si>
  <si>
    <t xml:space="preserve">Progress</t>
  </si>
  <si>
    <t xml:space="preserve">Linked Actions</t>
  </si>
  <si>
    <t xml:space="preserve">4   CONTEXT OF THE ORGANIZATION</t>
  </si>
  <si>
    <t xml:space="preserve">4.1</t>
  </si>
  <si>
    <t xml:space="preserve">Understanding the organization and its context</t>
  </si>
  <si>
    <t xml:space="preserve">Determine what factors may affect the organization's strategy and its ability to achieve intended results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</si>
  <si>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</si>
  <si>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</si>
  <si>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</si>
  <si>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</si>
  <si>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</si>
  <si>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</si>
  <si>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</si>
  <si>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</si>
  <si>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</si>
  <si>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</si>
  <si>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</si>
  <si>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</si>
  <si>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</si>
  <si>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</si>
  <si>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</si>
  <si>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</si>
  <si>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</si>
  <si>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</si>
  <si>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</si>
  <si>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</si>
  <si>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</si>
  <si>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</si>
  <si>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</si>
  <si>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</si>
  <si>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</si>
  <si>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</si>
  <si>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</si>
  <si>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</si>
  <si>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</si>
  <si>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</si>
  <si>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</si>
  <si>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</si>
  <si>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</si>
  <si>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</si>
  <si>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</si>
  <si>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</si>
  <si>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</si>
  <si>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</si>
  <si>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</si>
  <si>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</si>
  <si>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</si>
  <si>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</si>
  <si>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</si>
  <si>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</si>
  <si>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</si>
  <si>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</si>
  <si>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</si>
  <si>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</si>
  <si>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</si>
  <si>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</si>
  <si>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</si>
  <si>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</si>
  <si>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</si>
  <si>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</si>
  <si>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</si>
  <si>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</si>
  <si>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</si>
  <si>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</si>
  <si>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</si>
  <si>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</si>
  <si>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</si>
  <si>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</si>
  <si>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</si>
  <si>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</si>
  <si>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</si>
  <si>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</si>
  <si>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</si>
  <si>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</si>
  <si>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</si>
  <si>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</si>
  <si>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</si>
  <si>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</si>
  <si>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</si>
  <si>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</si>
  <si>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</si>
  <si>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</si>
  <si>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</si>
  <si>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</si>
  <si>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</si>
  <si>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</si>
  <si>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</si>
  <si>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</si>
  <si>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</si>
  <si>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</si>
  <si>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</si>
  <si>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</si>
  <si>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</si>
  <si>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</si>
  <si>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</si>
  <si>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</si>
  <si>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</si>
  <si>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</si>
  <si>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</si>
  <si>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</si>
  <si>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</si>
  <si>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</si>
  <si>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</si>
  <si>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</si>
  <si>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</si>
  <si>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</si>
  <si>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</si>
  <si>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</si>
  <si>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</si>
  <si>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</si>
  <si>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</si>
  <si>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</si>
  <si>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</si>
  <si>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</si>
  <si>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</si>
  <si>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</si>
  <si>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</si>
  <si>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</si>
  <si>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</si>
  <si>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</si>
  <si>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</si>
  <si>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</si>
  <si>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</si>
  <si>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</si>
  <si>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</si>
  <si>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</si>
  <si>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</si>
  <si>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</si>
  <si>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</si>
  <si>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</si>
  <si>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</si>
  <si>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</si>
  <si>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</si>
  <si>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</si>
  <si>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</si>
  <si>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</si>
  <si>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</si>
  <si>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</si>
  <si>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</si>
  <si>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</si>
  <si>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</si>
  <si>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</si>
  <si>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</si>
  <si>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</si>
  <si>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</si>
  <si>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</si>
  <si>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</si>
  <si>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</si>
  <si>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</si>
  <si>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</si>
  <si>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</si>
  <si>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</si>
  <si>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</si>
  <si>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</si>
  <si>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</si>
  <si>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</si>
  <si>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</si>
  <si>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</si>
  <si>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</si>
  <si>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</si>
  <si>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</si>
  <si>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</si>
  <si>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</si>
  <si>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</si>
  <si>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</si>
  <si>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</si>
  <si>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</si>
  <si>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</si>
  <si>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</si>
  <si>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</si>
  <si>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</si>
  <si>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</si>
  <si>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</si>
  <si>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</si>
  <si>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</si>
  <si>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</si>
  <si>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</si>
  <si>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</si>
  <si>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</si>
  <si>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</si>
  <si>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</si>
  <si>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</si>
  <si>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</si>
  <si>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</si>
  <si>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</si>
  <si>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</si>
  <si>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</si>
  <si>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</si>
  <si>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</si>
  <si>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</si>
  <si>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</si>
  <si>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</si>
  <si>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</si>
  <si>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</si>
  <si>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</si>
  <si>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</si>
  <si>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</si>
  <si>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</si>
  <si>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</si>
  <si>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</si>
  <si>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</si>
  <si>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</si>
  <si>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</si>
  <si>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</si>
  <si>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</si>
  <si>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</si>
  <si>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</si>
  <si>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</si>
  <si>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</si>
  <si>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</si>
  <si>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</si>
  <si>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</si>
  <si>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</si>
  <si>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</si>
  <si>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</si>
  <si>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</si>
  <si>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</si>
  <si>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</si>
  <si>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</si>
  <si>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</si>
  <si>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</si>
  <si>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</si>
  <si>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</si>
  <si>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</si>
  <si>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</si>
  <si>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</si>
  <si>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</si>
  <si>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</si>
  <si>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</si>
  <si>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</si>
  <si>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</si>
  <si>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</si>
  <si>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</si>
  <si>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</si>
  <si>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</si>
  <si>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</si>
  <si>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</si>
  <si>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</si>
  <si>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</si>
  <si>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</si>
  <si>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</si>
  <si>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</si>
  <si>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</si>
  <si>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</si>
  <si>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</si>
  <si>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</si>
  <si>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</si>
  <si>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</si>
  <si>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</si>
  <si>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</si>
  <si>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</si>
  <si>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</si>
  <si>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</si>
  <si>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</si>
  <si>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</si>
  <si>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</si>
  <si>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</si>
  <si>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</si>
  <si>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</si>
  <si>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</si>
  <si>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</si>
  <si>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</si>
  <si>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</si>
  <si>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</si>
  <si>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</si>
  <si>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</si>
  <si>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</si>
  <si>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</si>
  <si>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</si>
  <si>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</si>
  <si>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</si>
  <si>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</si>
  <si>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</si>
  <si>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</si>
  <si>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</si>
  <si>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</si>
  <si>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</si>
  <si>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</si>
  <si>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</si>
  <si>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</si>
  <si>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</si>
  <si>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</si>
  <si>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</si>
  <si>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</si>
  <si>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</si>
  <si>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</si>
  <si>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</si>
  <si>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</si>
  <si>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</si>
  <si>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</si>
  <si>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</si>
  <si>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</si>
  <si>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</si>
  <si>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</si>
  <si>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</si>
  <si>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</si>
  <si>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</si>
  <si>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</si>
  <si>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</si>
  <si>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</si>
  <si>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</si>
  <si>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</si>
  <si>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</si>
  <si>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</si>
  <si>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</si>
  <si>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</si>
  <si>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</si>
  <si>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</si>
  <si>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</si>
  <si>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</si>
  <si>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</si>
  <si>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</si>
  <si>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</si>
  <si>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</si>
  <si>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</si>
  <si>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standard</t>
  </si>
  <si>
    <t xml:space="preserve">clause</t>
  </si>
  <si>
    <t xml:space="preserve">clauseName</t>
  </si>
  <si>
    <t xml:space="preserve">requirement</t>
  </si>
  <si>
    <t xml:space="preserve">currentSystem</t>
  </si>
  <si>
    <t xml:space="preserve">plannedAction</t>
  </si>
  <si>
    <t xml:space="preserve">complianceStatus</t>
  </si>
  <si>
    <t xml:space="preserve">originalComplianceStatus</t>
  </si>
  <si>
    <t xml:space="preserve">workStatus</t>
  </si>
  <si>
    <t xml:space="preserve">priority</t>
  </si>
  <si>
    <t xml:space="preserve">owner</t>
  </si>
  <si>
    <t xml:space="preserve">dueDate</t>
  </si>
  <si>
    <t xml:space="preserve">progressPercent</t>
  </si>
  <si>
    <t xml:space="preserve">evidenceCount</t>
  </si>
  <si>
    <t xml:space="preserve">notesCount</t>
  </si>
  <si>
    <t xml:space="preserve">subtaskCount</t>
  </si>
  <si>
    <t xml:space="preserve">sharedActions</t>
  </si>
  <si>
    <t xml:space="preserve">sourceSheet</t>
  </si>
  <si>
    <t xml:space="preserve">sourceRow</t>
  </si>
  <si>
    <t xml:space="preserve">sourceChanged</t>
  </si>
  <si>
    <t xml:space="preserve">missingFromSource</t>
  </si>
  <si>
    <t xml:space="preserve">manual</t>
  </si>
  <si>
    <t xml:space="preserve">archived</t>
  </si>
  <si>
    <t xml:space="preserve">updatedAt</t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</si>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</sst>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0%&quot; of total&quot;"/>
    <numFmt numFmtId="168" formatCode="General"/>
    <numFmt numFmtId="169" formatCode="@"/>
    <numFmt numFmtId="170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97BCBD"/>
      <name val="Arial"/>
      <family val="0"/>
      <charset val="1"/>
    </font>
    <font>
      <b val="true"/>
      <sz val="12"/>
      <color rgb="FF00182E"/>
      <name val="Arial"/>
      <family val="0"/>
      <charset val="1"/>
    </font>
    <font>
      <b val="true"/>
      <sz val="8"/>
      <color rgb="FF5B6770"/>
      <name val="Arial"/>
      <family val="0"/>
      <charset val="1"/>
    </font>
    <font>
      <i val="true"/>
      <sz val="9"/>
      <color rgb="FF5B6770"/>
      <name val="Arial"/>
      <family val="0"/>
      <charset val="1"/>
    </font>
    <font>
      <b val="true"/>
      <sz val="22"/>
      <color rgb="FF00182E"/>
      <name val="Arial"/>
      <family val="0"/>
      <charset val="1"/>
    </font>
    <font>
      <sz val="8"/>
      <color rgb="FF5B677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182E"/>
      <name val="Arial"/>
      <family val="0"/>
      <charset val="1"/>
    </font>
    <font>
      <sz val="10"/>
      <color rgb="FF00182E"/>
      <name val="Arial"/>
      <family val="0"/>
      <charset val="1"/>
    </font>
    <font>
      <sz val="9"/>
      <color rgb="FF97BCB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B6770"/>
      <name val="Arial"/>
      <family val="0"/>
      <charset val="1"/>
    </font>
    <font>
      <sz val="9"/>
      <color rgb="FF00182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182E"/>
        <bgColor rgb="FF000000"/>
      </patternFill>
    </fill>
    <fill>
      <patternFill patternType="solid">
        <fgColor rgb="FF97BCBD"/>
        <bgColor rgb="FFBDC3BF"/>
      </patternFill>
    </fill>
    <fill>
      <patternFill patternType="solid">
        <fgColor rgb="FFEFEFEF"/>
        <bgColor rgb="FFFFFFFF"/>
      </patternFill>
    </fill>
    <fill>
      <patternFill patternType="solid">
        <fgColor rgb="FFFFFFFF"/>
        <bgColor rgb="FFEFEFEF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7BCBD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0182E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97BCBD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E0A43A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C0504D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BDC3BF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thin">
        <color rgb="FFBDC3BF"/>
      </bottom>
      <diagonal/>
    </border>
    <border diagonalUp="false" diagonalDown="false">
      <left/>
      <right/>
      <top style="medium">
        <color rgb="FF00182E"/>
      </top>
      <bottom style="medium">
        <color rgb="FF00182E"/>
      </bottom>
      <diagonal/>
    </border>
    <border diagonalUp="false" diagonalDown="false">
      <left style="thin">
        <color rgb="FF00182E"/>
      </left>
      <right style="thin">
        <color rgb="FF00182E"/>
      </right>
      <top/>
      <bottom style="medium">
        <color rgb="FF97BCBD"/>
      </bottom>
      <diagonal/>
    </border>
    <border diagonalUp="false" diagonalDown="false">
      <left/>
      <right/>
      <top style="thin">
        <color rgb="FF00182E"/>
      </top>
      <bottom style="thin">
        <color rgb="FF00182E"/>
      </bottom>
      <diagonal/>
    </border>
    <border diagonalUp="false" diagonalDown="false">
      <left style="thin">
        <color rgb="FFBDC3BF"/>
      </left>
      <right style="thin">
        <color rgb="FFBDC3BF"/>
      </right>
      <top style="thin">
        <color rgb="FFBDC3BF"/>
      </top>
      <bottom style="thin">
        <color rgb="FFBDC3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0" fillId="4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2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5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3" fillId="5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3" fillId="5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2" fillId="4" borderId="1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3" fillId="4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3" fillId="4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ont>
        <name val="Arial"/>
        <charset val="1"/>
        <family val="0"/>
        <b val="1"/>
        <color rgb="FF8E1B1B"/>
      </font>
      <fill>
        <patternFill>
          <bgColor rgb="FFF5D5D0"/>
        </patternFill>
      </fill>
    </dxf>
    <dxf>
      <font>
        <name val="Arial"/>
        <charset val="1"/>
        <family val="0"/>
        <b val="1"/>
        <color rgb="FF7A4E00"/>
      </font>
      <fill>
        <patternFill>
          <bgColor rgb="FFFBE8C4"/>
        </patternFill>
      </fill>
    </dxf>
    <dxf>
      <font>
        <name val="Arial"/>
        <charset val="1"/>
        <family val="0"/>
        <b val="1"/>
        <color rgb="FF00182E"/>
      </font>
      <fill>
        <patternFill>
          <bgColor rgb="FF97BCBD"/>
        </patternFill>
      </fill>
    </dxf>
    <dxf>
      <fill>
        <patternFill patternType="solid">
          <fgColor rgb="FF00182E"/>
          <bgColor rgb="FF000000"/>
        </patternFill>
      </fill>
    </dxf>
    <dxf>
      <fill>
        <patternFill patternType="solid">
          <fgColor rgb="FF97BCBD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5D5D0"/>
          <bgColor rgb="FF000000"/>
        </patternFill>
      </fill>
    </dxf>
    <dxf>
      <fill>
        <patternFill patternType="solid">
          <fgColor rgb="FFFBE8C4"/>
          <bgColor rgb="FF000000"/>
        </patternFill>
      </fill>
    </dxf>
    <dxf>
      <fill>
        <patternFill patternType="solid">
          <fgColor rgb="FF5B6770"/>
          <bgColor rgb="FF000000"/>
        </patternFill>
      </fill>
    </dxf>
    <dxf>
      <fill>
        <patternFill patternType="solid">
          <fgColor rgb="FF7A4E00"/>
          <bgColor rgb="FF000000"/>
        </patternFill>
      </fill>
    </dxf>
    <dxf>
      <fill>
        <patternFill patternType="solid">
          <fgColor rgb="FF8E1B1B"/>
          <bgColor rgb="FF000000"/>
        </patternFill>
      </fill>
    </dxf>
    <dxf>
      <fill>
        <patternFill patternType="solid">
          <fgColor rgb="FFBDC3BF"/>
          <bgColor rgb="FF000000"/>
        </patternFill>
      </fill>
    </dxf>
    <dxf>
      <font>
        <name val="Arial"/>
        <charset val="1"/>
        <family val="0"/>
        <i val="1"/>
        <color rgb="FF5B6770"/>
      </font>
      <fill>
        <patternFill>
          <bgColor rgb="FFEFEFEF"/>
        </patternFill>
      </fill>
    </dxf>
    <dxf>
      <font>
        <name val="Arial"/>
        <charset val="1"/>
        <family val="0"/>
        <color rgb="FF5B6770"/>
      </font>
      <fill>
        <patternFill>
          <bgColor rgb="FFFFFFF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0182E"/>
        </patternFill>
      </fill>
    </dxf>
    <dxf>
      <font>
        <name val="Arial"/>
        <charset val="1"/>
        <family val="0"/>
        <b val="1"/>
        <color rgb="FF00182E"/>
      </font>
      <fill>
        <patternFill>
          <bgColor rgb="FFBDC3BF"/>
        </patternFill>
      </fill>
    </dxf>
    <dxf>
      <font>
        <name val="Arial"/>
        <charset val="1"/>
        <family val="0"/>
        <color rgb="FF5B6770"/>
      </font>
    </dxf>
    <dxf>
      <font>
        <name val="Arial"/>
        <charset val="1"/>
        <family val="0"/>
        <b val="1"/>
        <color rgb="FF8E1B1B"/>
      </font>
    </dxf>
    <dxf>
      <font>
        <name val="Arial"/>
        <charset val="1"/>
        <family val="0"/>
        <b val="1"/>
        <color rgb="FF7A4E00"/>
      </font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E00"/>
      <rgbColor rgb="FF800080"/>
      <rgbColor rgb="FF008080"/>
      <rgbColor rgb="FFBDC3BF"/>
      <rgbColor rgb="FF808080"/>
      <rgbColor rgb="FF9999FF"/>
      <rgbColor rgb="FFC0504D"/>
      <rgbColor rgb="FFFBE8C4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7BCBD"/>
      <rgbColor rgb="FFFF99CC"/>
      <rgbColor rgb="FFCC99FF"/>
      <rgbColor rgb="FFF5D5D0"/>
      <rgbColor rgb="FF3366FF"/>
      <rgbColor rgb="FF33CCCC"/>
      <rgbColor rgb="FF99CC00"/>
      <rgbColor rgb="FFFFCC00"/>
      <rgbColor rgb="FFE0A43A"/>
      <rgbColor rgb="FFFF6600"/>
      <rgbColor rgb="FF5B6770"/>
      <rgbColor rgb="FF969696"/>
      <rgbColor rgb="FF003366"/>
      <rgbColor rgb="FF339966"/>
      <rgbColor rgb="FF00182E"/>
      <rgbColor rgb="FF333300"/>
      <rgbColor rgb="FF8E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133200</xdr:colOff>
      <xdr:row>0</xdr:row>
      <xdr:rowOff>104760</xdr:rowOff>
    </xdr:from>
    <xdr:to>
      <xdr:col>2</xdr:col>
      <xdr:colOff>487080</xdr:colOff>
      <xdr:row>1</xdr:row>
      <xdr:rowOff>199800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33200" y="104760"/>
          <a:ext cx="119988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133200</xdr:colOff>
      <xdr:row>0</xdr:row>
      <xdr:rowOff>104760</xdr:rowOff>
    </xdr:from>
    <xdr:to>
      <xdr:col>1</xdr:col>
      <xdr:colOff>698760</xdr:colOff>
      <xdr:row>1</xdr:row>
      <xdr:rowOff>199800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33200" y="104760"/>
          <a:ext cx="119988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182E"/>
    <pageSetUpPr fitToPage="true"/>
  </sheetPr>
  <dimension ref="A1:J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8" min="4" style="0" width="15"/>
    <col collapsed="false" customWidth="true" hidden="false" outlineLevel="0" max="9" min="9" style="0" width="16"/>
    <col collapsed="false" customWidth="true" hidden="false" outlineLevel="0" max="10" min="10" style="0" width="3"/>
  </cols>
  <sheetData>
    <row r="1" customFormat="false" ht="30" hidden="false" customHeight="true" outlineLevel="0" collapsed="false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</row>
    <row r="2" customFormat="false" ht="24" hidden="false" customHeight="true" outlineLevel="0" collapsed="false">
      <c r="A2" s="1"/>
      <c r="B2" s="1"/>
      <c r="C2" s="1"/>
      <c r="D2" s="3" t="s">
        <v>1</v>
      </c>
      <c r="E2" s="3"/>
      <c r="F2" s="3"/>
      <c r="G2" s="3"/>
      <c r="H2" s="3"/>
      <c r="I2" s="3"/>
      <c r="J2" s="3"/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5" customFormat="false" ht="24" hidden="false" customHeight="true" outlineLevel="0" collapsed="false">
      <c r="B5" s="5" t="s">
        <v>2</v>
      </c>
      <c r="C5" s="6"/>
      <c r="D5" s="6"/>
      <c r="E5" s="6"/>
      <c r="F5" s="6"/>
      <c r="G5" s="6"/>
      <c r="H5" s="6"/>
      <c r="I5" s="6"/>
    </row>
    <row r="6" customFormat="false" ht="25.5" hidden="false" customHeight="true" outlineLevel="0" collapsed="false">
      <c r="D6" s="7" t="s">
        <v>3</v>
      </c>
      <c r="E6" s="8" t="s">
        <v>4</v>
      </c>
      <c r="F6" s="9" t="s">
        <v>5</v>
      </c>
      <c r="G6" s="10" t="s">
        <v>6</v>
      </c>
      <c r="H6" s="11" t="s">
        <v>7</v>
      </c>
      <c r="I6" s="7" t="s">
        <v>8</v>
      </c>
    </row>
    <row r="7" customFormat="false" ht="39.75" hidden="false" customHeight="true" outlineLevel="0" collapsed="false">
      <c r="B7" s="12" t="s">
        <v>9</v>
      </c>
      <c r="C7" s="12"/>
      <c r="D7" s="13" t="n">
        <f aca="false">COUNTA('ISO 9001 Register'!$C$6:$C$110)</f>
        <v>98</v>
      </c>
      <c r="E7" s="13" t="n">
        <f aca="false">COUNTIF('ISO 9001 Register'!$F$6:$F$110,"Fully conforming")</f>
        <v>3</v>
      </c>
      <c r="F7" s="13" t="n">
        <f aca="false">COUNTIF('ISO 9001 Register'!$F$6:$F$110,"Partially conforming")</f>
        <v>20</v>
      </c>
      <c r="G7" s="13" t="n">
        <f aca="false">COUNTIF('ISO 9001 Register'!$F$6:$F$110,"Not conforming")</f>
        <v>39</v>
      </c>
      <c r="H7" s="13" t="n">
        <f aca="false">COUNTIF('ISO 9001 Register'!$F$6:$F$110,"To be updated")</f>
        <v>36</v>
      </c>
      <c r="I7" s="14" t="n">
        <f aca="false">IF($D$7=0,0,E7/$D$7)</f>
        <v>0.0306122448979592</v>
      </c>
    </row>
    <row r="8" customFormat="false" ht="18" hidden="false" customHeight="true" outlineLevel="0" collapsed="false">
      <c r="D8" s="15" t="s">
        <v>10</v>
      </c>
      <c r="E8" s="16" t="n">
        <f aca="false">IF($D$7=0,0,E7/$D$7)</f>
        <v>0.0306122448979592</v>
      </c>
      <c r="F8" s="16" t="n">
        <f aca="false">IF($D$7=0,0,F7/$D$7)</f>
        <v>0.204081632653061</v>
      </c>
      <c r="G8" s="16" t="n">
        <f aca="false">IF($D$7=0,0,G7/$D$7)</f>
        <v>0.397959183673469</v>
      </c>
      <c r="H8" s="16" t="n">
        <f aca="false">IF($D$7=0,0,H7/$D$7)</f>
        <v>0.36734693877551</v>
      </c>
      <c r="I8" s="15" t="s">
        <v>11</v>
      </c>
    </row>
    <row r="10" customFormat="false" ht="24" hidden="false" customHeight="true" outlineLevel="0" collapsed="false">
      <c r="B10" s="5" t="s">
        <v>12</v>
      </c>
      <c r="C10" s="6"/>
      <c r="D10" s="6"/>
      <c r="E10" s="6"/>
      <c r="F10" s="6"/>
      <c r="G10" s="6"/>
      <c r="H10" s="6"/>
      <c r="I10" s="6"/>
    </row>
    <row r="11" customFormat="false" ht="30" hidden="false" customHeight="true" outlineLevel="0" collapsed="false">
      <c r="B11" s="17" t="s">
        <v>13</v>
      </c>
      <c r="C11" s="17" t="s">
        <v>14</v>
      </c>
      <c r="D11" s="18" t="s">
        <v>3</v>
      </c>
      <c r="E11" s="18" t="s">
        <v>4</v>
      </c>
      <c r="F11" s="18" t="s">
        <v>5</v>
      </c>
      <c r="G11" s="18" t="s">
        <v>6</v>
      </c>
      <c r="H11" s="18" t="s">
        <v>7</v>
      </c>
      <c r="I11" s="18" t="s">
        <v>15</v>
      </c>
    </row>
    <row r="12" customFormat="false" ht="19.5" hidden="false" customHeight="true" outlineLevel="0" collapsed="false">
      <c r="B12" s="19" t="n">
        <v>4</v>
      </c>
      <c r="C12" s="19" t="s">
        <v>16</v>
      </c>
      <c r="D12" s="20" t="n">
        <f aca="false">COUNTIFS('ISO 9001 Register'!$A$6:$A$110,B12&amp;".*")</f>
        <v>10</v>
      </c>
      <c r="E12" s="20" t="n">
        <f aca="false">COUNTIFS('ISO 9001 Register'!$A$6:$A$110,$B12&amp;".*",'ISO 9001 Register'!$F$6:$F$110,E$11)</f>
        <v>0</v>
      </c>
      <c r="F12" s="20" t="n">
        <f aca="false">COUNTIFS('ISO 9001 Register'!$A$6:$A$110,$B12&amp;".*",'ISO 9001 Register'!$F$6:$F$110,F$11)</f>
        <v>1</v>
      </c>
      <c r="G12" s="20" t="n">
        <f aca="false">COUNTIFS('ISO 9001 Register'!$A$6:$A$110,$B12&amp;".*",'ISO 9001 Register'!$F$6:$F$110,G$11)</f>
        <v>9</v>
      </c>
      <c r="H12" s="20" t="n">
        <f aca="false">COUNTIFS('ISO 9001 Register'!$A$6:$A$110,$B12&amp;".*",'ISO 9001 Register'!$F$6:$F$110,H$11)</f>
        <v>0</v>
      </c>
      <c r="I12" s="21" t="n">
        <f aca="false">IF(D12=0,0,E12/D12)</f>
        <v>0</v>
      </c>
    </row>
    <row r="13" customFormat="false" ht="19.5" hidden="false" customHeight="true" outlineLevel="0" collapsed="false">
      <c r="B13" s="22" t="n">
        <v>5</v>
      </c>
      <c r="C13" s="22" t="s">
        <v>17</v>
      </c>
      <c r="D13" s="23" t="n">
        <f aca="false">COUNTIFS('ISO 9001 Register'!$A$6:$A$110,B13&amp;".*")</f>
        <v>7</v>
      </c>
      <c r="E13" s="23" t="n">
        <f aca="false">COUNTIFS('ISO 9001 Register'!$A$6:$A$110,$B13&amp;".*",'ISO 9001 Register'!$F$6:$F$110,E$11)</f>
        <v>0</v>
      </c>
      <c r="F13" s="23" t="n">
        <f aca="false">COUNTIFS('ISO 9001 Register'!$A$6:$A$110,$B13&amp;".*",'ISO 9001 Register'!$F$6:$F$110,F$11)</f>
        <v>4</v>
      </c>
      <c r="G13" s="23" t="n">
        <f aca="false">COUNTIFS('ISO 9001 Register'!$A$6:$A$110,$B13&amp;".*",'ISO 9001 Register'!$F$6:$F$110,G$11)</f>
        <v>3</v>
      </c>
      <c r="H13" s="23" t="n">
        <f aca="false">COUNTIFS('ISO 9001 Register'!$A$6:$A$110,$B13&amp;".*",'ISO 9001 Register'!$F$6:$F$110,H$11)</f>
        <v>0</v>
      </c>
      <c r="I13" s="24" t="n">
        <f aca="false">IF(D13=0,0,E13/D13)</f>
        <v>0</v>
      </c>
    </row>
    <row r="14" customFormat="false" ht="19.5" hidden="false" customHeight="true" outlineLevel="0" collapsed="false">
      <c r="B14" s="19" t="n">
        <v>6</v>
      </c>
      <c r="C14" s="19" t="s">
        <v>18</v>
      </c>
      <c r="D14" s="20" t="n">
        <f aca="false">COUNTIFS('ISO 9001 Register'!$A$6:$A$110,B14&amp;".*")</f>
        <v>6</v>
      </c>
      <c r="E14" s="20" t="n">
        <f aca="false">COUNTIFS('ISO 9001 Register'!$A$6:$A$110,$B14&amp;".*",'ISO 9001 Register'!$F$6:$F$110,E$11)</f>
        <v>0</v>
      </c>
      <c r="F14" s="20" t="n">
        <f aca="false">COUNTIFS('ISO 9001 Register'!$A$6:$A$110,$B14&amp;".*",'ISO 9001 Register'!$F$6:$F$110,F$11)</f>
        <v>2</v>
      </c>
      <c r="G14" s="20" t="n">
        <f aca="false">COUNTIFS('ISO 9001 Register'!$A$6:$A$110,$B14&amp;".*",'ISO 9001 Register'!$F$6:$F$110,G$11)</f>
        <v>4</v>
      </c>
      <c r="H14" s="20" t="n">
        <f aca="false">COUNTIFS('ISO 9001 Register'!$A$6:$A$110,$B14&amp;".*",'ISO 9001 Register'!$F$6:$F$110,H$11)</f>
        <v>0</v>
      </c>
      <c r="I14" s="21" t="n">
        <f aca="false">IF(D14=0,0,E14/D14)</f>
        <v>0</v>
      </c>
    </row>
    <row r="15" customFormat="false" ht="19.5" hidden="false" customHeight="true" outlineLevel="0" collapsed="false">
      <c r="B15" s="22" t="n">
        <v>7</v>
      </c>
      <c r="C15" s="22" t="s">
        <v>19</v>
      </c>
      <c r="D15" s="23" t="n">
        <f aca="false">COUNTIFS('ISO 9001 Register'!$A$6:$A$110,B15&amp;".*")</f>
        <v>17</v>
      </c>
      <c r="E15" s="23" t="n">
        <f aca="false">COUNTIFS('ISO 9001 Register'!$A$6:$A$110,$B15&amp;".*",'ISO 9001 Register'!$F$6:$F$110,E$11)</f>
        <v>3</v>
      </c>
      <c r="F15" s="23" t="n">
        <f aca="false">COUNTIFS('ISO 9001 Register'!$A$6:$A$110,$B15&amp;".*",'ISO 9001 Register'!$F$6:$F$110,F$11)</f>
        <v>8</v>
      </c>
      <c r="G15" s="23" t="n">
        <f aca="false">COUNTIFS('ISO 9001 Register'!$A$6:$A$110,$B15&amp;".*",'ISO 9001 Register'!$F$6:$F$110,G$11)</f>
        <v>6</v>
      </c>
      <c r="H15" s="23" t="n">
        <f aca="false">COUNTIFS('ISO 9001 Register'!$A$6:$A$110,$B15&amp;".*",'ISO 9001 Register'!$F$6:$F$110,H$11)</f>
        <v>0</v>
      </c>
      <c r="I15" s="24" t="n">
        <f aca="false">IF(D15=0,0,E15/D15)</f>
        <v>0.176470588235294</v>
      </c>
    </row>
    <row r="16" customFormat="false" ht="19.5" hidden="false" customHeight="true" outlineLevel="0" collapsed="false">
      <c r="B16" s="19" t="n">
        <v>8</v>
      </c>
      <c r="C16" s="19" t="s">
        <v>20</v>
      </c>
      <c r="D16" s="20" t="n">
        <f aca="false">COUNTIFS('ISO 9001 Register'!$A$6:$A$110,B16&amp;".*")</f>
        <v>36</v>
      </c>
      <c r="E16" s="20" t="n">
        <f aca="false">COUNTIFS('ISO 9001 Register'!$A$6:$A$110,$B16&amp;".*",'ISO 9001 Register'!$F$6:$F$110,E$11)</f>
        <v>0</v>
      </c>
      <c r="F16" s="20" t="n">
        <f aca="false">COUNTIFS('ISO 9001 Register'!$A$6:$A$110,$B16&amp;".*",'ISO 9001 Register'!$F$6:$F$110,F$11)</f>
        <v>0</v>
      </c>
      <c r="G16" s="20" t="n">
        <f aca="false">COUNTIFS('ISO 9001 Register'!$A$6:$A$110,$B16&amp;".*",'ISO 9001 Register'!$F$6:$F$110,G$11)</f>
        <v>0</v>
      </c>
      <c r="H16" s="20" t="n">
        <f aca="false">COUNTIFS('ISO 9001 Register'!$A$6:$A$110,$B16&amp;".*",'ISO 9001 Register'!$F$6:$F$110,H$11)</f>
        <v>36</v>
      </c>
      <c r="I16" s="21" t="n">
        <f aca="false">IF(D16=0,0,E16/D16)</f>
        <v>0</v>
      </c>
    </row>
    <row r="17" customFormat="false" ht="19.5" hidden="false" customHeight="true" outlineLevel="0" collapsed="false">
      <c r="B17" s="22" t="n">
        <v>9</v>
      </c>
      <c r="C17" s="22" t="s">
        <v>21</v>
      </c>
      <c r="D17" s="23" t="n">
        <f aca="false">COUNTIFS('ISO 9001 Register'!$A$6:$A$110,B17&amp;".*")</f>
        <v>15</v>
      </c>
      <c r="E17" s="23" t="n">
        <f aca="false">COUNTIFS('ISO 9001 Register'!$A$6:$A$110,$B17&amp;".*",'ISO 9001 Register'!$F$6:$F$110,E$11)</f>
        <v>0</v>
      </c>
      <c r="F17" s="23" t="n">
        <f aca="false">COUNTIFS('ISO 9001 Register'!$A$6:$A$110,$B17&amp;".*",'ISO 9001 Register'!$F$6:$F$110,F$11)</f>
        <v>0</v>
      </c>
      <c r="G17" s="23" t="n">
        <f aca="false">COUNTIFS('ISO 9001 Register'!$A$6:$A$110,$B17&amp;".*",'ISO 9001 Register'!$F$6:$F$110,G$11)</f>
        <v>15</v>
      </c>
      <c r="H17" s="23" t="n">
        <f aca="false">COUNTIFS('ISO 9001 Register'!$A$6:$A$110,$B17&amp;".*",'ISO 9001 Register'!$F$6:$F$110,H$11)</f>
        <v>0</v>
      </c>
      <c r="I17" s="24" t="n">
        <f aca="false">IF(D17=0,0,E17/D17)</f>
        <v>0</v>
      </c>
    </row>
    <row r="18" customFormat="false" ht="19.5" hidden="false" customHeight="true" outlineLevel="0" collapsed="false">
      <c r="B18" s="19" t="n">
        <v>10</v>
      </c>
      <c r="C18" s="19" t="s">
        <v>22</v>
      </c>
      <c r="D18" s="20" t="n">
        <f aca="false">COUNTIFS('ISO 9001 Register'!$A$6:$A$110,B18&amp;".*")</f>
        <v>7</v>
      </c>
      <c r="E18" s="20" t="n">
        <f aca="false">COUNTIFS('ISO 9001 Register'!$A$6:$A$110,$B18&amp;".*",'ISO 9001 Register'!$F$6:$F$110,E$11)</f>
        <v>0</v>
      </c>
      <c r="F18" s="20" t="n">
        <f aca="false">COUNTIFS('ISO 9001 Register'!$A$6:$A$110,$B18&amp;".*",'ISO 9001 Register'!$F$6:$F$110,F$11)</f>
        <v>5</v>
      </c>
      <c r="G18" s="20" t="n">
        <f aca="false">COUNTIFS('ISO 9001 Register'!$A$6:$A$110,$B18&amp;".*",'ISO 9001 Register'!$F$6:$F$110,G$11)</f>
        <v>2</v>
      </c>
      <c r="H18" s="20" t="n">
        <f aca="false">COUNTIFS('ISO 9001 Register'!$A$6:$A$110,$B18&amp;".*",'ISO 9001 Register'!$F$6:$F$110,H$11)</f>
        <v>0</v>
      </c>
      <c r="I18" s="21" t="n">
        <f aca="false">IF(D18=0,0,E18/D18)</f>
        <v>0</v>
      </c>
    </row>
    <row r="19" customFormat="false" ht="21.75" hidden="false" customHeight="true" outlineLevel="0" collapsed="false">
      <c r="B19" s="25"/>
      <c r="C19" s="25" t="s">
        <v>23</v>
      </c>
      <c r="D19" s="26" t="n">
        <f aca="false">SUM(D12:D18)</f>
        <v>98</v>
      </c>
      <c r="E19" s="26" t="n">
        <f aca="false">SUM(E12:E18)</f>
        <v>3</v>
      </c>
      <c r="F19" s="26" t="n">
        <f aca="false">SUM(F12:F18)</f>
        <v>20</v>
      </c>
      <c r="G19" s="26" t="n">
        <f aca="false">SUM(G12:G18)</f>
        <v>39</v>
      </c>
      <c r="H19" s="26" t="n">
        <f aca="false">SUM(H12:H18)</f>
        <v>36</v>
      </c>
      <c r="I19" s="27" t="n">
        <f aca="false">IF(D19=0,0,E19/D19)</f>
        <v>0.0306122448979592</v>
      </c>
    </row>
    <row r="21" customFormat="false" ht="24" hidden="false" customHeight="true" outlineLevel="0" collapsed="false">
      <c r="B21" s="5" t="s">
        <v>24</v>
      </c>
      <c r="C21" s="6"/>
      <c r="D21" s="6"/>
      <c r="E21" s="6"/>
      <c r="F21" s="6"/>
      <c r="G21" s="6"/>
      <c r="H21" s="6"/>
      <c r="I21" s="6"/>
    </row>
    <row r="22" customFormat="false" ht="24" hidden="false" customHeight="true" outlineLevel="0" collapsed="false">
      <c r="B22" s="28" t="s">
        <v>25</v>
      </c>
      <c r="C22" s="1"/>
      <c r="D22" s="29" t="s">
        <v>3</v>
      </c>
      <c r="E22" s="29" t="s">
        <v>26</v>
      </c>
      <c r="G22" s="28" t="s">
        <v>27</v>
      </c>
      <c r="H22" s="29" t="s">
        <v>3</v>
      </c>
      <c r="I22" s="29" t="s">
        <v>26</v>
      </c>
    </row>
    <row r="23" customFormat="false" ht="19.5" hidden="false" customHeight="true" outlineLevel="0" collapsed="false">
      <c r="B23" s="30" t="s">
        <v>28</v>
      </c>
      <c r="C23" s="30"/>
      <c r="D23" s="20" t="n">
        <f aca="false">COUNTIF('ISO 9001 Register'!$H$6:$H$110,B23)</f>
        <v>97</v>
      </c>
      <c r="E23" s="21" t="n">
        <f aca="false">IF($D$7=0,0,D23/$D$7)</f>
        <v>0.989795918367347</v>
      </c>
      <c r="G23" s="30" t="s">
        <v>29</v>
      </c>
      <c r="H23" s="20" t="n">
        <f aca="false">COUNTIFS('ISO 9001 Register'!$I$6:$I$110,G23,'ISO 9001 Register'!$C$6:$C$110,"&lt;&gt;")</f>
        <v>1</v>
      </c>
      <c r="I23" s="21" t="n">
        <f aca="false">IF($D$7=0,0,H23/$D$7)</f>
        <v>0.0102040816326531</v>
      </c>
    </row>
    <row r="24" customFormat="false" ht="19.5" hidden="false" customHeight="true" outlineLevel="0" collapsed="false">
      <c r="B24" s="31" t="s">
        <v>30</v>
      </c>
      <c r="C24" s="31"/>
      <c r="D24" s="23" t="n">
        <f aca="false">COUNTIF('ISO 9001 Register'!$H$6:$H$110,B24)</f>
        <v>1</v>
      </c>
      <c r="E24" s="24" t="n">
        <f aca="false">IF($D$7=0,0,D24/$D$7)</f>
        <v>0.0102040816326531</v>
      </c>
      <c r="G24" s="31" t="s">
        <v>31</v>
      </c>
      <c r="H24" s="23" t="n">
        <f aca="false">COUNTIFS('ISO 9001 Register'!$I$6:$I$110,G24,'ISO 9001 Register'!$C$6:$C$110,"&lt;&gt;")</f>
        <v>0</v>
      </c>
      <c r="I24" s="24" t="n">
        <f aca="false">IF($D$7=0,0,H24/$D$7)</f>
        <v>0</v>
      </c>
    </row>
    <row r="25" customFormat="false" ht="19.5" hidden="false" customHeight="true" outlineLevel="0" collapsed="false">
      <c r="B25" s="30" t="s">
        <v>32</v>
      </c>
      <c r="C25" s="30"/>
      <c r="D25" s="20" t="n">
        <f aca="false">COUNTIF('ISO 9001 Register'!$H$6:$H$110,B25)</f>
        <v>0</v>
      </c>
      <c r="E25" s="21" t="n">
        <f aca="false">IF($D$7=0,0,D25/$D$7)</f>
        <v>0</v>
      </c>
      <c r="G25" s="30" t="s">
        <v>33</v>
      </c>
      <c r="H25" s="20" t="n">
        <f aca="false">COUNTIFS('ISO 9001 Register'!$I$6:$I$110,G25,'ISO 9001 Register'!$C$6:$C$110,"&lt;&gt;")</f>
        <v>0</v>
      </c>
      <c r="I25" s="21" t="n">
        <f aca="false">IF($D$7=0,0,H25/$D$7)</f>
        <v>0</v>
      </c>
    </row>
    <row r="26" customFormat="false" ht="19.5" hidden="false" customHeight="true" outlineLevel="0" collapsed="false">
      <c r="B26" s="31" t="s">
        <v>34</v>
      </c>
      <c r="C26" s="31"/>
      <c r="D26" s="23" t="n">
        <f aca="false">COUNTIF('ISO 9001 Register'!$H$6:$H$110,B26)</f>
        <v>0</v>
      </c>
      <c r="E26" s="24" t="n">
        <f aca="false">IF($D$7=0,0,D26/$D$7)</f>
        <v>0</v>
      </c>
      <c r="G26" s="31" t="s">
        <v>35</v>
      </c>
      <c r="H26" s="23" t="n">
        <f aca="false">$D$7-SUM(H23:H25)</f>
        <v>97</v>
      </c>
      <c r="I26" s="24" t="n">
        <f aca="false">IF($D$7=0,0,H26/$D$7)</f>
        <v>0.989795918367347</v>
      </c>
    </row>
    <row r="27" customFormat="false" ht="19.5" hidden="false" customHeight="true" outlineLevel="0" collapsed="false">
      <c r="B27" s="30" t="s">
        <v>36</v>
      </c>
      <c r="C27" s="30"/>
      <c r="D27" s="20" t="n">
        <f aca="false">COUNTIF('ISO 9001 Register'!$H$6:$H$110,B27)</f>
        <v>0</v>
      </c>
      <c r="E27" s="21" t="n">
        <f aca="false">IF($D$7=0,0,D27/$D$7)</f>
        <v>0</v>
      </c>
    </row>
    <row r="28" customFormat="false" ht="21.75" hidden="false" customHeight="true" outlineLevel="0" collapsed="false">
      <c r="B28" s="25" t="s">
        <v>37</v>
      </c>
      <c r="C28" s="25"/>
      <c r="D28" s="27" t="n">
        <f aca="false">IFERROR(AVERAGE('ISO 9001 Register'!$L$6:$L$110),0)</f>
        <v>0</v>
      </c>
      <c r="E28" s="26"/>
    </row>
  </sheetData>
  <mergeCells count="9">
    <mergeCell ref="D1:J1"/>
    <mergeCell ref="D2:J2"/>
    <mergeCell ref="B7:C7"/>
    <mergeCell ref="B23:C23"/>
    <mergeCell ref="B24:C24"/>
    <mergeCell ref="B25:C25"/>
    <mergeCell ref="B26:C26"/>
    <mergeCell ref="B27:C27"/>
    <mergeCell ref="B28:C28"/>
  </mergeCells>
  <conditionalFormatting sqref="I12:I18">
    <cfRule type="dataBar" priority="2">
      <dataBar showValue="1" minLength="0" maxLength="100">
        <cfvo type="num" val="0"/>
        <cfvo type="num" val="1"/>
        <color rgb="FF97BCBD"/>
      </dataBar>
      <extLst>
        <ext xmlns:x14="http://schemas.microsoft.com/office/spreadsheetml/2009/9/main" uri="{B025F937-C7B1-47D3-B67F-A62EFF666E3E}">
          <x14:id>{E09E9E7B-FD1E-455F-9F17-6A671D26AB10}</x14:id>
        </ext>
      </extLst>
    </cfRule>
  </conditionalFormatting>
  <conditionalFormatting sqref="G12:G18">
    <cfRule type="cellIs" priority="3" operator="greaterThan" aboveAverage="0" equalAverage="0" bottom="0" percent="0" rank="0" text="" dxfId="0">
      <formula>0</formula>
    </cfRule>
  </conditionalFormatting>
  <conditionalFormatting sqref="F12:F18">
    <cfRule type="cellIs" priority="4" operator="greaterThan" aboveAverage="0" equalAverage="0" bottom="0" percent="0" rank="0" text="" dxfId="1">
      <formula>0</formula>
    </cfRule>
  </conditionalFormatting>
  <conditionalFormatting sqref="E12:E18"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Etcher Solutions  ·  ISO 9001 Gap Analysis&amp;R&amp;"Arial,Regular"&amp;8 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9E9E7B-FD1E-455F-9F17-6A671D26AB10}">
            <x14:dataBar minLength="0" maxLength="100" axisPosition="none" gradient="true">
              <x14:cfvo type="num">
                <xm:f>0</xm:f>
              </x14:cfvo>
              <x14:cfvo type="num">
                <xm:f>1</xm:f>
              </x14:cfvo>
              <x14:negativeFillColor rgb="FF97BCBD"/>
              <x14:axisColor rgb="FF000000"/>
            </x14:dataBar>
          </x14:cfRule>
          <xm:sqref>I12:I18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7BCBD"/>
    <pageSetUpPr fitToPage="tru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46"/>
    <col collapsed="false" customWidth="true" hidden="false" outlineLevel="0" max="5" min="5" style="0" width="50"/>
    <col collapsed="false" customWidth="true" hidden="false" outlineLevel="0" max="7" min="6" style="0" width="17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34"/>
  </cols>
  <sheetData>
    <row r="1" customFormat="false" ht="30" hidden="false" customHeight="true" outlineLevel="0" collapsed="false">
      <c r="A1" s="1"/>
      <c r="B1" s="1"/>
      <c r="C1" s="32" t="s">
        <v>38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1"/>
      <c r="B2" s="1"/>
      <c r="C2" s="33" t="s">
        <v>39</v>
      </c>
      <c r="D2" s="1"/>
      <c r="E2" s="1"/>
      <c r="F2" s="1"/>
      <c r="G2" s="1"/>
      <c r="H2" s="1"/>
      <c r="I2" s="1"/>
      <c r="J2" s="1"/>
      <c r="K2" s="1"/>
      <c r="L2" s="1"/>
      <c r="M2" s="34" t="s">
        <v>40</v>
      </c>
    </row>
    <row r="3" customFormat="false" ht="3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19.5" hidden="false" customHeight="true" outlineLevel="0" collapsed="false">
      <c r="A4" s="35" t="s">
        <v>41</v>
      </c>
    </row>
    <row r="5" customFormat="false" ht="30" hidden="false" customHeight="true" outlineLevel="0" collapsed="false">
      <c r="A5" s="36" t="s">
        <v>13</v>
      </c>
      <c r="B5" s="36" t="s">
        <v>42</v>
      </c>
      <c r="C5" s="36" t="s">
        <v>43</v>
      </c>
      <c r="D5" s="36" t="s">
        <v>44</v>
      </c>
      <c r="E5" s="36" t="s">
        <v>45</v>
      </c>
      <c r="F5" s="37" t="s">
        <v>46</v>
      </c>
      <c r="G5" s="37" t="s">
        <v>47</v>
      </c>
      <c r="H5" s="37" t="s">
        <v>48</v>
      </c>
      <c r="I5" s="37" t="s">
        <v>27</v>
      </c>
      <c r="J5" s="37" t="s">
        <v>49</v>
      </c>
      <c r="K5" s="37" t="s">
        <v>50</v>
      </c>
      <c r="L5" s="37" t="s">
        <v>51</v>
      </c>
      <c r="M5" s="36" t="s">
        <v>52</v>
      </c>
    </row>
    <row r="6" customFormat="false" ht="21.75" hidden="false" customHeight="true" outlineLevel="0" collapsed="false">
      <c r="A6" s="38" t="s">
        <v>53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customFormat="false" ht="45" hidden="false" customHeight="true" outlineLevel="0" collapsed="false">
      <c r="A7" s="40" t="s">
        <v>54</v>
      </c>
      <c r="B7" s="41" t="s">
        <v>55</v>
      </c>
      <c r="C7" s="42" t="s">
        <v>56</v>
      </c>
      <c r="D7" s="42"/>
      <c r="E7" s="42"/>
      <c r="F7" s="43" t="s">
        <v>5</v>
      </c>
      <c r="G7" s="44" t="s">
        <v>6</v>
      </c>
      <c r="H7" s="45" t="s">
        <v>30</v>
      </c>
      <c r="I7" s="45" t="s">
        <v>29</v>
      </c>
      <c r="J7" s="45"/>
      <c r="K7" s="46"/>
      <c r="L7" s="47" t="n">
        <v>0</v>
      </c>
      <c r="M7" s="42"/>
    </row>
  </sheetData>
  <autoFilter ref="A5:M110"/>
  <conditionalFormatting sqref="F6:F110">
    <cfRule type="cellIs" priority="2" operator="equal" aboveAverage="0" equalAverage="0" bottom="0" percent="0" rank="0" text="" dxfId="2">
      <formula>"Fully conforming"</formula>
    </cfRule>
    <cfRule type="cellIs" priority="3" operator="equal" aboveAverage="0" equalAverage="0" bottom="0" percent="0" rank="0" text="" dxfId="1">
      <formula>"Partially conforming"</formula>
    </cfRule>
    <cfRule type="cellIs" priority="4" operator="equal" aboveAverage="0" equalAverage="0" bottom="0" percent="0" rank="0" text="" dxfId="0">
      <formula>"Not conforming"</formula>
    </cfRule>
    <cfRule type="cellIs" priority="5" operator="equal" aboveAverage="0" equalAverage="0" bottom="0" percent="0" rank="0" text="" dxfId="14">
      <formula>"To be updated"</formula>
    </cfRule>
    <cfRule type="cellIs" priority="6" operator="equal" aboveAverage="0" equalAverage="0" bottom="0" percent="0" rank="0" text="" dxfId="15">
      <formula>"Not applicable"</formula>
    </cfRule>
  </conditionalFormatting>
  <conditionalFormatting sqref="H6:H110">
    <cfRule type="cellIs" priority="7" operator="equal" aboveAverage="0" equalAverage="0" bottom="0" percent="0" rank="0" text="" dxfId="16">
      <formula>"Complete"</formula>
    </cfRule>
    <cfRule type="cellIs" priority="8" operator="equal" aboveAverage="0" equalAverage="0" bottom="0" percent="0" rank="0" text="" dxfId="2">
      <formula>"In progress"</formula>
    </cfRule>
    <cfRule type="cellIs" priority="9" operator="equal" aboveAverage="0" equalAverage="0" bottom="0" percent="0" rank="0" text="" dxfId="17">
      <formula>"Planned"</formula>
    </cfRule>
    <cfRule type="cellIs" priority="10" operator="equal" aboveAverage="0" equalAverage="0" bottom="0" percent="0" rank="0" text="" dxfId="1">
      <formula>"On hold"</formula>
    </cfRule>
    <cfRule type="cellIs" priority="11" operator="equal" aboveAverage="0" equalAverage="0" bottom="0" percent="0" rank="0" text="" dxfId="18">
      <formula>"Not started"</formula>
    </cfRule>
  </conditionalFormatting>
  <conditionalFormatting sqref="I6:I110">
    <cfRule type="cellIs" priority="12" operator="equal" aboveAverage="0" equalAverage="0" bottom="0" percent="0" rank="0" text="" dxfId="19">
      <formula>"High"</formula>
    </cfRule>
    <cfRule type="cellIs" priority="13" operator="equal" aboveAverage="0" equalAverage="0" bottom="0" percent="0" rank="0" text="" dxfId="20">
      <formula>"Medium"</formula>
    </cfRule>
    <cfRule type="cellIs" priority="14" operator="equal" aboveAverage="0" equalAverage="0" bottom="0" percent="0" rank="0" text="" dxfId="18">
      <formula>"Low"</formula>
    </cfRule>
  </conditionalFormatting>
  <conditionalFormatting sqref="K6:K110">
    <cfRule type="expression" priority="15" aboveAverage="0" equalAverage="0" bottom="0" percent="0" rank="0" text="" dxfId="0">
      <formula>AND($K6&lt;&gt;"",$K6&lt;TODAY(),OR($L6="",$L6&lt;1))</formula>
    </cfRule>
  </conditionalFormatting>
  <conditionalFormatting sqref="L6:L110">
    <cfRule type="dataBar" priority="16">
      <dataBar showValue="1" minLength="0" maxLength="100">
        <cfvo type="num" val="0"/>
        <cfvo type="num" val="1"/>
        <color rgb="FF97BCBD"/>
      </dataBar>
      <extLst>
        <ext xmlns:x14="http://schemas.microsoft.com/office/spreadsheetml/2009/9/main" uri="{B025F937-C7B1-47D3-B67F-A62EFF666E3E}">
          <x14:id>{92328DAF-41DE-4DD6-AAA6-D0D81FE2E7F1}</x14:id>
        </ext>
      </extLst>
    </cfRule>
  </conditionalFormatting>
  <dataValidations count="5">
    <dataValidation allowBlank="true" error="Please pick a value from the list." errorStyle="stop" errorTitle="Invalid entry" operator="between" showDropDown="false" showErrorMessage="false" showInputMessage="false" sqref="F6:F110" type="list">
      <formula1>"Fully conforming,Partially conforming,Not conforming,To be updated,Not applicable"</formula1>
      <formula2>0</formula2>
    </dataValidation>
    <dataValidation allowBlank="true" error="Please pick a value from the list." errorStyle="stop" errorTitle="Invalid entry" operator="between" showDropDown="false" showErrorMessage="false" showInputMessage="false" sqref="H6:H110" type="list">
      <formula1>"Not started,Planned,In progress,Complete,On hold"</formula1>
      <formula2>0</formula2>
    </dataValidation>
    <dataValidation allowBlank="true" error="Please pick a value from the list." errorStyle="stop" errorTitle="Invalid entry" operator="between" showDropDown="false" showErrorMessage="false" showInputMessage="false" sqref="I6:I110" type="list">
      <formula1>"High,Medium,Low"</formula1>
      <formula2>0</formula2>
    </dataValidation>
    <dataValidation allowBlank="true" error="Enter a date as dd/mm/yyyy." errorStyle="stop" errorTitle="Invalid date" operator="greaterThan" showDropDown="false" showErrorMessage="false" showInputMessage="false" sqref="K6:K110" type="date">
      <formula1>DATE(2020,1,1)</formula1>
      <formula2>0</formula2>
    </dataValidation>
    <dataValidation allowBlank="true" error="Enter a percentage between 0% and 100%." errorStyle="stop" errorTitle="Invalid progress" operator="between" showDropDown="false" showErrorMessage="false" showInputMessage="false" sqref="L6:L110" type="decimal">
      <formula1>0</formula1>
      <formula2>1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Etcher Solutions  ·  ISO 9001 Gap Analysis&amp;R&amp;"Arial,Regular"&amp;8 Page &amp;P of &amp;N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328DAF-41DE-4DD6-AAA6-D0D81FE2E7F1}">
            <x14:dataBar minLength="0" maxLength="100" axisPosition="none" gradient="true">
              <x14:cfvo type="num">
                <xm:f>0</xm:f>
              </x14:cfvo>
              <x14:cfvo type="num">
                <xm:f>1</xm:f>
              </x14:cfvo>
              <x14:negativeFillColor rgb="FF97BCBD"/>
              <x14:axisColor rgb="FF000000"/>
            </x14:dataBar>
          </x14:cfRule>
          <xm:sqref>L6:L110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C3BF"/>
    <pageSetUpPr fitToPage="true"/>
  </sheetPr>
  <dimension ref="A1:X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6" min="3" style="0" width="40"/>
    <col collapsed="false" customWidth="true" hidden="false" outlineLevel="0" max="7" min="7" style="0" width="19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13"/>
    <col collapsed="false" customWidth="true" hidden="false" outlineLevel="0" max="16" min="16" style="0" width="15"/>
    <col collapsed="false" customWidth="true" hidden="false" outlineLevel="0" max="17" min="17" style="0" width="40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6"/>
    <col collapsed="false" customWidth="true" hidden="false" outlineLevel="0" max="21" min="21" style="0" width="20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12"/>
  </cols>
  <sheetData>
    <row r="1" customFormat="false" ht="21.75" hidden="false" customHeight="true" outlineLevel="0" collapsed="false">
      <c r="A1" s="56" t="s">
        <v>366</v>
      </c>
      <c r="B1" s="56" t="s">
        <v>367</v>
      </c>
      <c r="C1" s="56" t="s">
        <v>368</v>
      </c>
      <c r="D1" s="56" t="s">
        <v>369</v>
      </c>
      <c r="E1" s="56" t="s">
        <v>370</v>
      </c>
      <c r="F1" s="56" t="s">
        <v>371</v>
      </c>
      <c r="G1" s="56" t="s">
        <v>372</v>
      </c>
      <c r="H1" s="56" t="s">
        <v>373</v>
      </c>
      <c r="I1" s="56" t="s">
        <v>374</v>
      </c>
      <c r="J1" s="56" t="s">
        <v>375</v>
      </c>
      <c r="K1" s="56" t="s">
        <v>376</v>
      </c>
      <c r="L1" s="56" t="s">
        <v>377</v>
      </c>
      <c r="M1" s="56" t="s">
        <v>378</v>
      </c>
      <c r="N1" s="56" t="s">
        <v>379</v>
      </c>
      <c r="O1" s="56" t="s">
        <v>380</v>
      </c>
      <c r="P1" s="56" t="s">
        <v>381</v>
      </c>
      <c r="Q1" s="56" t="s">
        <v>382</v>
      </c>
      <c r="R1" s="56" t="s">
        <v>383</v>
      </c>
      <c r="S1" s="56" t="s">
        <v>384</v>
      </c>
      <c r="T1" s="56" t="s">
        <v>385</v>
      </c>
      <c r="U1" s="56" t="s">
        <v>386</v>
      </c>
      <c r="V1" s="56" t="s">
        <v>387</v>
      </c>
      <c r="W1" s="56" t="s">
        <v>388</v>
      </c>
      <c r="X1" s="56" t="s">
        <v>389</v>
      </c>
    </row>
  </sheetData>
  <autoFilter ref="A1:X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2026-09-28T11:00:01Z</dcterms:created>
  <dc:creator/>
  <dc:description/>
  <dc:language>en-US</dc:language>
  <cp:lastModifiedBy/>
  <dcterms:modified xsi:type="dcterms:W3CDTF">2026-09-28T11:00:02Z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